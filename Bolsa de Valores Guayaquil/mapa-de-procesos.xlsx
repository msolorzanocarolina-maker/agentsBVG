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 de procesos" sheetId="1" state="visible" r:id="rId3"/>
    <sheet name="Resumen" sheetId="2" state="visible" r:id="rId4"/>
    <sheet name="Criterios" sheetId="3" state="visible" r:id="rId5"/>
  </sheets>
  <definedNames>
    <definedName function="false" hidden="true" localSheetId="0" name="_xlnm._FilterDatabase" vbProcedure="false">'Mapa de procesos'!$A$4:$F$74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<sst xmlns="http://schemas.openxmlformats.org/spreadsheetml/2006/main" count="386" uniqueCount="177">
  <si>
    <t xml:space="preserve">Mapa de procesos · Gerencia de Asuntos Públicos · Bolsa de Valores Guayaquil</t>
  </si>
  <si>
    <t xml:space="preserve">Etiquetas: Agente (lo hace una IA sola) · Agente + aprobación (lo prepara la IA y la Gerencia da el visto bueno) · Humano (solo la Gerencia). Puedes cambiar la etiqueta con la lista desplegable de la columna E; el resumen se actualiza solo.</t>
  </si>
  <si>
    <t xml:space="preserve">N.º</t>
  </si>
  <si>
    <t xml:space="preserve">Etapa</t>
  </si>
  <si>
    <t xml:space="preserve">Responsabilidad (brief)</t>
  </si>
  <si>
    <t xml:space="preserve">Tarea</t>
  </si>
  <si>
    <t xml:space="preserve">Etiqueta</t>
  </si>
  <si>
    <t xml:space="preserve">Por qué esta etiqueta</t>
  </si>
  <si>
    <t xml:space="preserve">1. Planificación y dirección estratégica</t>
  </si>
  <si>
    <t xml:space="preserve">A. Dirección estratégica</t>
  </si>
  <si>
    <t xml:space="preserve">Definir prioridades y objetivos anuales del área con Gerencia General</t>
  </si>
  <si>
    <t xml:space="preserve">Humano</t>
  </si>
  <si>
    <t xml:space="preserve">Decisión estratégica que depende de la relación con Gerencia General y del criterio de la Gerencia.</t>
  </si>
  <si>
    <t xml:space="preserve">Redactar el borrador del plan anual de gestión a partir de los objetivos definidos</t>
  </si>
  <si>
    <t xml:space="preserve">Agente + aprobación</t>
  </si>
  <si>
    <t xml:space="preserve">La IA estructura el plan; la Gerencia valida metas, presupuesto y prioridades.</t>
  </si>
  <si>
    <t xml:space="preserve">Definir mensajes clave, ejes narrativos y posicionamiento (Faro, Ecuador al Mundo)</t>
  </si>
  <si>
    <t xml:space="preserve">Es la voz institucional; requiere criterio y alineación con Gerencia General.</t>
  </si>
  <si>
    <t xml:space="preserve">Proponer variantes de mensajes clave y líneas narrativas para evaluar</t>
  </si>
  <si>
    <t xml:space="preserve">La IA propone opciones; la Gerencia elige y ajusta.</t>
  </si>
  <si>
    <t xml:space="preserve">Armar el plan y calendario editorial mensual</t>
  </si>
  <si>
    <t xml:space="preserve">La IA arma el calendario según hitos y eventos; la Gerencia aprueba.</t>
  </si>
  <si>
    <t xml:space="preserve">Priorizar y clasificar solicitudes internas según área de gestión</t>
  </si>
  <si>
    <t xml:space="preserve">La IA ubica cada solicitud en su área y sugiere prioridad; la Gerencia confirma.</t>
  </si>
  <si>
    <t xml:space="preserve">Aprobar presupuesto y contratar proveedores</t>
  </si>
  <si>
    <t xml:space="preserve">Decisión administrativa y de responsabilidad gerencial.</t>
  </si>
  <si>
    <t xml:space="preserve">2. Inteligencia de mercado y análisis</t>
  </si>
  <si>
    <t xml:space="preserve">A. Dirección estratégica / Inteligencia</t>
  </si>
  <si>
    <t xml:space="preserve">Descargar, limpiar y consolidar bases de datos del mercado de valores</t>
  </si>
  <si>
    <t xml:space="preserve">Agente</t>
  </si>
  <si>
    <t xml:space="preserve">Tarea repetitiva y automatizable; debe dejar trazabilidad de la fuente.</t>
  </si>
  <si>
    <t xml:space="preserve">Calcular montos negociados, variaciones, participaciones y rankings</t>
  </si>
  <si>
    <t xml:space="preserve">Cálculo recurrente; se verifica antes de publicar (etapa 3).</t>
  </si>
  <si>
    <t xml:space="preserve">Actualizar series históricas y tablero de inteligencia de mercado</t>
  </si>
  <si>
    <t xml:space="preserve">Automatizable con controles de calidad.</t>
  </si>
  <si>
    <t xml:space="preserve">Monitorear indicadores macroeconómicos y noticias de coyuntura</t>
  </si>
  <si>
    <t xml:space="preserve">Seguimiento periódico de fuentes oficiales y medios.</t>
  </si>
  <si>
    <t xml:space="preserve">Generar alertas ante variaciones relevantes o comportamientos atípicos</t>
  </si>
  <si>
    <t xml:space="preserve">Detección preliminar; la interpretación pasa a la Gerencia.</t>
  </si>
  <si>
    <t xml:space="preserve">Redactar el radar de insights (hallazgo, significado, oportunidad)</t>
  </si>
  <si>
    <t xml:space="preserve">La IA interpreta; la Gerencia decide qué hallazgos tienen relevancia institucional.</t>
  </si>
  <si>
    <t xml:space="preserve">Elaborar el brief periódico de coyuntura</t>
  </si>
  <si>
    <t xml:space="preserve">La IA redacta; la Gerencia valida el enfoque antes de circularlo.</t>
  </si>
  <si>
    <t xml:space="preserve">Validar cifras oficiales con las áreas técnicas responsables</t>
  </si>
  <si>
    <t xml:space="preserve">Requiere coordinación interna y responsabilidad sobre la exactitud de los datos.</t>
  </si>
  <si>
    <t xml:space="preserve">Decidir qué posición institucional adoptar ante un tema de coyuntura</t>
  </si>
  <si>
    <t xml:space="preserve">Postura pública de la BVG; se coordina con Gerencia General.</t>
  </si>
  <si>
    <t xml:space="preserve">3. Creación de contenidos y mensajes</t>
  </si>
  <si>
    <t xml:space="preserve">B. Comunicación, contenidos y marca</t>
  </si>
  <si>
    <t xml:space="preserve">Redactar captions, copys y guiones de reels para redes sociales</t>
  </si>
  <si>
    <t xml:space="preserve">Todo lo que sale publicado lleva visto bueno.</t>
  </si>
  <si>
    <t xml:space="preserve">Redactar boletines, noticias bursátiles y comunicados de prensa</t>
  </si>
  <si>
    <t xml:space="preserve">La IA redacta con cifras validadas; la Gerencia aprueba.</t>
  </si>
  <si>
    <t xml:space="preserve">Traducir información financiera a lenguaje claro para público general</t>
  </si>
  <si>
    <t xml:space="preserve">La IA simplifica; la Gerencia revisa precisión y tono.</t>
  </si>
  <si>
    <t xml:space="preserve">Adaptar un mismo mensaje a distintos canales y públicos</t>
  </si>
  <si>
    <t xml:space="preserve">Variantes por canal; aprobación antes de publicar.</t>
  </si>
  <si>
    <t xml:space="preserve">Revisar ortografía, estilo y coherencia con el tono BVG</t>
  </si>
  <si>
    <t xml:space="preserve">Revisión mecánica de textos ya aprobados en su fondo.</t>
  </si>
  <si>
    <t xml:space="preserve">Redactar discursos y mensajes para Gerencia General</t>
  </si>
  <si>
    <t xml:space="preserve">La IA prepara borradores; la Gerencia ajusta y valida con la vocera.</t>
  </si>
  <si>
    <t xml:space="preserve">Preparar presentaciones ejecutivas (estructura y contenido)</t>
  </si>
  <si>
    <t xml:space="preserve">La IA arma la base; la Gerencia aprueba.</t>
  </si>
  <si>
    <t xml:space="preserve">Preparar fichas de vocería con cifras, contexto y argumentos</t>
  </si>
  <si>
    <t xml:space="preserve">Insumo técnico para entrevistas y paneles; requiere validación.</t>
  </si>
  <si>
    <t xml:space="preserve">Mantener el repositorio de cifras y mensajes aprobados</t>
  </si>
  <si>
    <t xml:space="preserve">Ordenar y actualizar lo ya validado.</t>
  </si>
  <si>
    <t xml:space="preserve">Preparar a la vocera antes de entrevistas o paneles (ensayo, enfoque)</t>
  </si>
  <si>
    <t xml:space="preserve">Relación directa y criterio de vocería.</t>
  </si>
  <si>
    <t xml:space="preserve">4. Marca, identidad y proyectos especiales</t>
  </si>
  <si>
    <t xml:space="preserve">Definir dirección del rebranding y arquitectura de marca</t>
  </si>
  <si>
    <t xml:space="preserve">Decisión estratégica de identidad institucional.</t>
  </si>
  <si>
    <t xml:space="preserve">Desarrollar conceptos creativos para campañas (propuestas)</t>
  </si>
  <si>
    <t xml:space="preserve">La IA propone conceptos; la Gerencia elige.</t>
  </si>
  <si>
    <t xml:space="preserve">Redactar briefs creativos para diseñadores y productoras</t>
  </si>
  <si>
    <t xml:space="preserve">La IA redacta; la Gerencia aprueba antes de enviar.</t>
  </si>
  <si>
    <t xml:space="preserve">Revisar piezas gráficas contra el manual de marca</t>
  </si>
  <si>
    <t xml:space="preserve">La IA señala inconsistencias; la Gerencia da el visto bueno final.</t>
  </si>
  <si>
    <t xml:space="preserve">Aprobar la calidad creativa final de piezas y videos</t>
  </si>
  <si>
    <t xml:space="preserve">Criterio estético y de marca.</t>
  </si>
  <si>
    <t xml:space="preserve">Conceptualizar proyectos especiales (ej. Mercado y Guayaquil)</t>
  </si>
  <si>
    <t xml:space="preserve">La IA aporta investigación y propuestas; la Gerencia define el concepto.</t>
  </si>
  <si>
    <t xml:space="preserve">Investigar historia y archivo para contenidos de memoria institucional</t>
  </si>
  <si>
    <t xml:space="preserve">Búsqueda y organización de información.</t>
  </si>
  <si>
    <t xml:space="preserve">5. Relacionamiento con stakeholders</t>
  </si>
  <si>
    <t xml:space="preserve">C. Relaciones públicas y vinculación</t>
  </si>
  <si>
    <t xml:space="preserve">Mantener la base de contactos de stakeholders actualizada</t>
  </si>
  <si>
    <t xml:space="preserve">Orden y actualización de datos.</t>
  </si>
  <si>
    <t xml:space="preserve">Redactar invitaciones, agradecimientos y comunicaciones institucionales</t>
  </si>
  <si>
    <t xml:space="preserve">Comunicación con terceros; requiere visto bueno.</t>
  </si>
  <si>
    <t xml:space="preserve">Identificar oportunidades de colaboración y alianzas</t>
  </si>
  <si>
    <t xml:space="preserve">La IA propone; la Gerencia decide a cuáles avanzar.</t>
  </si>
  <si>
    <t xml:space="preserve">Mapear foros, paneles y espacios de posicionamiento (agenda de oportunidades)</t>
  </si>
  <si>
    <t xml:space="preserve">La IA investiga y propone; la Gerencia prioriza.</t>
  </si>
  <si>
    <t xml:space="preserve">Reunirse con casas de valores, gremios, academia y autoridades</t>
  </si>
  <si>
    <t xml:space="preserve">Relación de confianza que no se delega.</t>
  </si>
  <si>
    <t xml:space="preserve">Relacionamiento con medios y periodistas</t>
  </si>
  <si>
    <t xml:space="preserve">Vínculo personal y de reputación.</t>
  </si>
  <si>
    <t xml:space="preserve">Relacionamiento con bolsas e instituciones internacionales</t>
  </si>
  <si>
    <t xml:space="preserve">Representación institucional.</t>
  </si>
  <si>
    <t xml:space="preserve">Preparar briefing previo a cada reunión (quién es, temas, historial)</t>
  </si>
  <si>
    <t xml:space="preserve">Insumo interno de preparación.</t>
  </si>
  <si>
    <t xml:space="preserve">Redactar actas y compromisos tras reuniones</t>
  </si>
  <si>
    <t xml:space="preserve">La IA resume; la Gerencia confirma acuerdos.</t>
  </si>
  <si>
    <t xml:space="preserve">6. Eventos y protocolo</t>
  </si>
  <si>
    <t xml:space="preserve">Definir el concepto y objetivo de cada evento</t>
  </si>
  <si>
    <t xml:space="preserve">Decisión estratégica de posicionamiento.</t>
  </si>
  <si>
    <t xml:space="preserve">Armar cronograma, checklist y plan logístico del evento</t>
  </si>
  <si>
    <t xml:space="preserve">La IA estructura; la Gerencia valida fechas y responsables.</t>
  </si>
  <si>
    <t xml:space="preserve">Redactar guion de maestro de ceremonia, agenda e invitaciones</t>
  </si>
  <si>
    <t xml:space="preserve">Texto público; requiere aprobación.</t>
  </si>
  <si>
    <t xml:space="preserve">Redactar discursos para aperturas, Toques de Campana y aniversarios</t>
  </si>
  <si>
    <t xml:space="preserve">Voz institucional; aprobación obligatoria.</t>
  </si>
  <si>
    <t xml:space="preserve">Coordinar con autoridades, proveedores y áreas internas</t>
  </si>
  <si>
    <t xml:space="preserve">Negociación y coordinación en tiempo real.</t>
  </si>
  <si>
    <t xml:space="preserve">Estar presente y resolver imprevistos el día del evento</t>
  </si>
  <si>
    <t xml:space="preserve">Ejecución presencial.</t>
  </si>
  <si>
    <t xml:space="preserve">Preparar contenidos de cobertura (pre, durante y post evento)</t>
  </si>
  <si>
    <t xml:space="preserve">La IA prepara; la Gerencia aprueba antes de publicar.</t>
  </si>
  <si>
    <t xml:space="preserve">Consolidar resultados del evento (asistencia, alcance, menciones)</t>
  </si>
  <si>
    <t xml:space="preserve">Recolección y conteo de datos.</t>
  </si>
  <si>
    <t xml:space="preserve">7. Cultura bursátil y vinculación académica</t>
  </si>
  <si>
    <t xml:space="preserve">D. Cultura bursátil y proyectos</t>
  </si>
  <si>
    <t xml:space="preserve">Definir alianzas con universidades e instituciones educativas</t>
  </si>
  <si>
    <t xml:space="preserve">Decisión institucional y relación directa.</t>
  </si>
  <si>
    <t xml:space="preserve">Diseñar contenidos de campañas de BVG Académico y del Programa de Especialización Bursátil</t>
  </si>
  <si>
    <t xml:space="preserve">La IA redacta; la Gerencia aprueba.</t>
  </si>
  <si>
    <t xml:space="preserve">Redactar textos de brochures, flyers y materiales educativos</t>
  </si>
  <si>
    <t xml:space="preserve">Material público; requiere visto bueno.</t>
  </si>
  <si>
    <t xml:space="preserve">Crear explicaciones y materiales de educación financiera en lenguaje llano</t>
  </si>
  <si>
    <t xml:space="preserve">La IA simplifica; la Gerencia revisa precisión.</t>
  </si>
  <si>
    <t xml:space="preserve">Responder preguntas frecuentes de estudiantes y público sobre programas</t>
  </si>
  <si>
    <t xml:space="preserve">Respuestas modelo aprobadas una vez; luego se reutilizan.</t>
  </si>
  <si>
    <t xml:space="preserve">Registrar participantes, instituciones y resultados de actividades</t>
  </si>
  <si>
    <t xml:space="preserve">Registro y conteo.</t>
  </si>
  <si>
    <t xml:space="preserve">8. Difusión y activación</t>
  </si>
  <si>
    <t xml:space="preserve">Programar publicaciones ya aprobadas en redes y canales</t>
  </si>
  <si>
    <t xml:space="preserve">Ejecución mecánica de contenido aprobado.</t>
  </si>
  <si>
    <t xml:space="preserve">Publicar comunicados o posiciones sobre temas sensibles o de crisis</t>
  </si>
  <si>
    <t xml:space="preserve">Riesgo reputacional alto; decisión de la Gerencia con Gerencia General.</t>
  </si>
  <si>
    <t xml:space="preserve">Distribuir boletines y comunicados aprobados a la base de medios</t>
  </si>
  <si>
    <t xml:space="preserve">Envío de material ya validado.</t>
  </si>
  <si>
    <t xml:space="preserve">Monitorear menciones, prensa y conversación en redes sobre la BVG</t>
  </si>
  <si>
    <t xml:space="preserve">Seguimiento automatizable.</t>
  </si>
  <si>
    <t xml:space="preserve">Proponer respuestas a comentarios y consultas en redes</t>
  </si>
  <si>
    <t xml:space="preserve">La IA sugiere; la Gerencia aprueba respuestas que no son de rutina.</t>
  </si>
  <si>
    <t xml:space="preserve">Proponer artículos de opinión y temas de vocería basados en hallazgos</t>
  </si>
  <si>
    <t xml:space="preserve">La IA propone ángulos; la Gerencia decide.</t>
  </si>
  <si>
    <t xml:space="preserve">9. Medición y rendición de cuentas</t>
  </si>
  <si>
    <t xml:space="preserve">E. Gestión gerencial y evaluación</t>
  </si>
  <si>
    <t xml:space="preserve">Recopilar métricas de redes, web, prensa y eventos</t>
  </si>
  <si>
    <t xml:space="preserve">Extracción y consolidación de datos.</t>
  </si>
  <si>
    <t xml:space="preserve">Calcular indicadores de gestión (cumplimiento, alcance, avance de proyectos)</t>
  </si>
  <si>
    <t xml:space="preserve">Cálculo recurrente.</t>
  </si>
  <si>
    <t xml:space="preserve">Redactar el informe ejecutivo mensual para Gerencia General</t>
  </si>
  <si>
    <t xml:space="preserve">La IA arma el borrador por ejes; la Gerencia ajusta conclusiones.</t>
  </si>
  <si>
    <t xml:space="preserve">Preparar reportes para el Directorio</t>
  </si>
  <si>
    <t xml:space="preserve">Documento de alta exposición; aprobación obligatoria.</t>
  </si>
  <si>
    <t xml:space="preserve">Hacer seguimiento a cronogramas, entregables y compromisos</t>
  </si>
  <si>
    <t xml:space="preserve">Recordatorios y control de avance.</t>
  </si>
  <si>
    <t xml:space="preserve">Controlar la ejecución presupuestaria</t>
  </si>
  <si>
    <t xml:space="preserve">La IA consolida cifras; la Gerencia valida.</t>
  </si>
  <si>
    <t xml:space="preserve">Presentar resultados a Gerencia General y defender la gestión</t>
  </si>
  <si>
    <t xml:space="preserve">Rendición de cuentas personal.</t>
  </si>
  <si>
    <t xml:space="preserve">Proponer mejoras y nuevas acciones estratégicas</t>
  </si>
  <si>
    <t xml:space="preserve">La IA sugiere a partir de los datos; la Gerencia decide.</t>
  </si>
  <si>
    <t xml:space="preserve">Resumen por etapa y etiqueta</t>
  </si>
  <si>
    <t xml:space="preserve">Total</t>
  </si>
  <si>
    <t xml:space="preserve">% delegable a IA</t>
  </si>
  <si>
    <t xml:space="preserve">Participación</t>
  </si>
  <si>
    <t xml:space="preserve">"% delegable a IA" = tareas Agente + tareas Agente + aprobación, sobre el total de la etapa. Las cifras se calculan con fórmulas a partir de la hoja "Mapa de procesos".</t>
  </si>
  <si>
    <t xml:space="preserve">Cómo se asignaron las etiquetas</t>
  </si>
  <si>
    <t xml:space="preserve">Tareas internas, repetitivas o de datos que no salen al público con la voz de la BVG: recopilar, calcular, ordenar, monitorear, programar lo ya aprobado.</t>
  </si>
  <si>
    <t xml:space="preserve">Todo lo que la IA puede redactar, proponer o analizar, pero que sale con el nombre de la BVG, compromete cifras o requiere criterio de la Gerencia antes de usarse.</t>
  </si>
  <si>
    <t xml:space="preserve">Decisiones estratégicas, posturas institucionales, relaciones de confianza, presencia física, temas sensibles o de crisis y rendición de cuentas.</t>
  </si>
  <si>
    <t xml:space="preserve">Regla de oro</t>
  </si>
  <si>
    <t xml:space="preserve">Ninguna cifra se publica sin validación de las áreas técnicas responsables, y ningún texto sale al público sin el visto bueno de la Gerencia.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</si>
</sst>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D9EAD3"/>
        </patternFill>
      </fill>
    </dxf>
    <dxf>
      <font>
        <name val="Arial"/>
        <charset val="1"/>
        <family val="0"/>
        <b val="1"/>
      </font>
      <fill>
        <patternFill>
          <bgColor rgb="FFFFF2CC"/>
        </patternFill>
      </fill>
    </dxf>
    <dxf>
      <font>
        <name val="Arial"/>
        <charset val="1"/>
        <family val="0"/>
        <b val="1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58"/>
    <col collapsed="false" customWidth="true" hidden="false" outlineLevel="0" max="5" min="5" style="0" width="22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n">
        <v>1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customFormat="false" ht="23.85" hidden="false" customHeight="false" outlineLevel="0" collapsed="false">
      <c r="A6" s="4" t="n">
        <v>2</v>
      </c>
      <c r="B6" s="5" t="s">
        <v>8</v>
      </c>
      <c r="C6" s="5" t="s">
        <v>9</v>
      </c>
      <c r="D6" s="5" t="s">
        <v>13</v>
      </c>
      <c r="E6" s="5" t="s">
        <v>14</v>
      </c>
      <c r="F6" s="5" t="s">
        <v>15</v>
      </c>
    </row>
    <row r="7" customFormat="false" ht="23.85" hidden="false" customHeight="false" outlineLevel="0" collapsed="false">
      <c r="A7" s="4" t="n">
        <v>3</v>
      </c>
      <c r="B7" s="5" t="s">
        <v>8</v>
      </c>
      <c r="C7" s="5" t="s">
        <v>9</v>
      </c>
      <c r="D7" s="5" t="s">
        <v>16</v>
      </c>
      <c r="E7" s="5" t="s">
        <v>11</v>
      </c>
      <c r="F7" s="5" t="s">
        <v>17</v>
      </c>
    </row>
    <row r="8" customFormat="false" ht="23.85" hidden="false" customHeight="false" outlineLevel="0" collapsed="false">
      <c r="A8" s="4" t="n">
        <v>4</v>
      </c>
      <c r="B8" s="5" t="s">
        <v>8</v>
      </c>
      <c r="C8" s="5" t="s">
        <v>9</v>
      </c>
      <c r="D8" s="5" t="s">
        <v>18</v>
      </c>
      <c r="E8" s="5" t="s">
        <v>14</v>
      </c>
      <c r="F8" s="5" t="s">
        <v>19</v>
      </c>
    </row>
    <row r="9" customFormat="false" ht="23.85" hidden="false" customHeight="false" outlineLevel="0" collapsed="false">
      <c r="A9" s="4" t="n">
        <v>5</v>
      </c>
      <c r="B9" s="5" t="s">
        <v>8</v>
      </c>
      <c r="C9" s="5" t="s">
        <v>9</v>
      </c>
      <c r="D9" s="5" t="s">
        <v>20</v>
      </c>
      <c r="E9" s="5" t="s">
        <v>14</v>
      </c>
      <c r="F9" s="5" t="s">
        <v>21</v>
      </c>
    </row>
    <row r="10" customFormat="false" ht="23.85" hidden="false" customHeight="false" outlineLevel="0" collapsed="false">
      <c r="A10" s="4" t="n">
        <v>6</v>
      </c>
      <c r="B10" s="5" t="s">
        <v>8</v>
      </c>
      <c r="C10" s="5" t="s">
        <v>9</v>
      </c>
      <c r="D10" s="5" t="s">
        <v>22</v>
      </c>
      <c r="E10" s="5" t="s">
        <v>14</v>
      </c>
      <c r="F10" s="5" t="s">
        <v>23</v>
      </c>
    </row>
    <row r="11" customFormat="false" ht="23.85" hidden="false" customHeight="false" outlineLevel="0" collapsed="false">
      <c r="A11" s="4" t="n">
        <v>7</v>
      </c>
      <c r="B11" s="5" t="s">
        <v>8</v>
      </c>
      <c r="C11" s="5" t="s">
        <v>9</v>
      </c>
      <c r="D11" s="5" t="s">
        <v>24</v>
      </c>
      <c r="E11" s="5" t="s">
        <v>11</v>
      </c>
      <c r="F11" s="5" t="s">
        <v>25</v>
      </c>
    </row>
    <row r="12" customFormat="false" ht="23.85" hidden="false" customHeight="false" outlineLevel="0" collapsed="false">
      <c r="A12" s="4" t="n">
        <v>8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30</v>
      </c>
    </row>
    <row r="13" customFormat="false" ht="23.85" hidden="false" customHeight="false" outlineLevel="0" collapsed="false">
      <c r="A13" s="4" t="n">
        <v>9</v>
      </c>
      <c r="B13" s="5" t="s">
        <v>26</v>
      </c>
      <c r="C13" s="5" t="s">
        <v>27</v>
      </c>
      <c r="D13" s="5" t="s">
        <v>31</v>
      </c>
      <c r="E13" s="5" t="s">
        <v>29</v>
      </c>
      <c r="F13" s="5" t="s">
        <v>32</v>
      </c>
    </row>
    <row r="14" customFormat="false" ht="23.85" hidden="false" customHeight="false" outlineLevel="0" collapsed="false">
      <c r="A14" s="4" t="n">
        <v>10</v>
      </c>
      <c r="B14" s="5" t="s">
        <v>26</v>
      </c>
      <c r="C14" s="5" t="s">
        <v>27</v>
      </c>
      <c r="D14" s="5" t="s">
        <v>33</v>
      </c>
      <c r="E14" s="5" t="s">
        <v>29</v>
      </c>
      <c r="F14" s="5" t="s">
        <v>34</v>
      </c>
    </row>
    <row r="15" customFormat="false" ht="23.85" hidden="false" customHeight="false" outlineLevel="0" collapsed="false">
      <c r="A15" s="4" t="n">
        <v>11</v>
      </c>
      <c r="B15" s="5" t="s">
        <v>26</v>
      </c>
      <c r="C15" s="5" t="s">
        <v>27</v>
      </c>
      <c r="D15" s="5" t="s">
        <v>35</v>
      </c>
      <c r="E15" s="5" t="s">
        <v>29</v>
      </c>
      <c r="F15" s="5" t="s">
        <v>36</v>
      </c>
    </row>
    <row r="16" customFormat="false" ht="23.85" hidden="false" customHeight="false" outlineLevel="0" collapsed="false">
      <c r="A16" s="4" t="n">
        <v>12</v>
      </c>
      <c r="B16" s="5" t="s">
        <v>26</v>
      </c>
      <c r="C16" s="5" t="s">
        <v>27</v>
      </c>
      <c r="D16" s="5" t="s">
        <v>37</v>
      </c>
      <c r="E16" s="5" t="s">
        <v>29</v>
      </c>
      <c r="F16" s="5" t="s">
        <v>38</v>
      </c>
    </row>
    <row r="17" customFormat="false" ht="23.85" hidden="false" customHeight="false" outlineLevel="0" collapsed="false">
      <c r="A17" s="4" t="n">
        <v>13</v>
      </c>
      <c r="B17" s="5" t="s">
        <v>26</v>
      </c>
      <c r="C17" s="5" t="s">
        <v>27</v>
      </c>
      <c r="D17" s="5" t="s">
        <v>39</v>
      </c>
      <c r="E17" s="5" t="s">
        <v>14</v>
      </c>
      <c r="F17" s="5" t="s">
        <v>40</v>
      </c>
    </row>
    <row r="18" customFormat="false" ht="23.85" hidden="false" customHeight="false" outlineLevel="0" collapsed="false">
      <c r="A18" s="4" t="n">
        <v>14</v>
      </c>
      <c r="B18" s="5" t="s">
        <v>26</v>
      </c>
      <c r="C18" s="5" t="s">
        <v>27</v>
      </c>
      <c r="D18" s="5" t="s">
        <v>41</v>
      </c>
      <c r="E18" s="5" t="s">
        <v>14</v>
      </c>
      <c r="F18" s="5" t="s">
        <v>42</v>
      </c>
    </row>
    <row r="19" customFormat="false" ht="23.85" hidden="false" customHeight="false" outlineLevel="0" collapsed="false">
      <c r="A19" s="4" t="n">
        <v>15</v>
      </c>
      <c r="B19" s="5" t="s">
        <v>26</v>
      </c>
      <c r="C19" s="5" t="s">
        <v>27</v>
      </c>
      <c r="D19" s="5" t="s">
        <v>43</v>
      </c>
      <c r="E19" s="5" t="s">
        <v>11</v>
      </c>
      <c r="F19" s="5" t="s">
        <v>44</v>
      </c>
    </row>
    <row r="20" customFormat="false" ht="23.85" hidden="false" customHeight="false" outlineLevel="0" collapsed="false">
      <c r="A20" s="4" t="n">
        <v>16</v>
      </c>
      <c r="B20" s="5" t="s">
        <v>26</v>
      </c>
      <c r="C20" s="5" t="s">
        <v>27</v>
      </c>
      <c r="D20" s="5" t="s">
        <v>45</v>
      </c>
      <c r="E20" s="5" t="s">
        <v>11</v>
      </c>
      <c r="F20" s="5" t="s">
        <v>46</v>
      </c>
    </row>
    <row r="21" customFormat="false" ht="23.85" hidden="false" customHeight="false" outlineLevel="0" collapsed="false">
      <c r="A21" s="4" t="n">
        <v>17</v>
      </c>
      <c r="B21" s="5" t="s">
        <v>47</v>
      </c>
      <c r="C21" s="5" t="s">
        <v>48</v>
      </c>
      <c r="D21" s="5" t="s">
        <v>49</v>
      </c>
      <c r="E21" s="5" t="s">
        <v>14</v>
      </c>
      <c r="F21" s="5" t="s">
        <v>50</v>
      </c>
    </row>
    <row r="22" customFormat="false" ht="23.85" hidden="false" customHeight="false" outlineLevel="0" collapsed="false">
      <c r="A22" s="4" t="n">
        <v>18</v>
      </c>
      <c r="B22" s="5" t="s">
        <v>47</v>
      </c>
      <c r="C22" s="5" t="s">
        <v>48</v>
      </c>
      <c r="D22" s="5" t="s">
        <v>51</v>
      </c>
      <c r="E22" s="5" t="s">
        <v>14</v>
      </c>
      <c r="F22" s="5" t="s">
        <v>52</v>
      </c>
    </row>
    <row r="23" customFormat="false" ht="23.85" hidden="false" customHeight="false" outlineLevel="0" collapsed="false">
      <c r="A23" s="4" t="n">
        <v>19</v>
      </c>
      <c r="B23" s="5" t="s">
        <v>47</v>
      </c>
      <c r="C23" s="5" t="s">
        <v>48</v>
      </c>
      <c r="D23" s="5" t="s">
        <v>53</v>
      </c>
      <c r="E23" s="5" t="s">
        <v>14</v>
      </c>
      <c r="F23" s="5" t="s">
        <v>54</v>
      </c>
    </row>
    <row r="24" customFormat="false" ht="23.85" hidden="false" customHeight="false" outlineLevel="0" collapsed="false">
      <c r="A24" s="4" t="n">
        <v>20</v>
      </c>
      <c r="B24" s="5" t="s">
        <v>47</v>
      </c>
      <c r="C24" s="5" t="s">
        <v>48</v>
      </c>
      <c r="D24" s="5" t="s">
        <v>55</v>
      </c>
      <c r="E24" s="5" t="s">
        <v>14</v>
      </c>
      <c r="F24" s="5" t="s">
        <v>56</v>
      </c>
    </row>
    <row r="25" customFormat="false" ht="23.85" hidden="false" customHeight="false" outlineLevel="0" collapsed="false">
      <c r="A25" s="4" t="n">
        <v>21</v>
      </c>
      <c r="B25" s="5" t="s">
        <v>47</v>
      </c>
      <c r="C25" s="5" t="s">
        <v>48</v>
      </c>
      <c r="D25" s="5" t="s">
        <v>57</v>
      </c>
      <c r="E25" s="5" t="s">
        <v>29</v>
      </c>
      <c r="F25" s="5" t="s">
        <v>58</v>
      </c>
    </row>
    <row r="26" customFormat="false" ht="23.85" hidden="false" customHeight="false" outlineLevel="0" collapsed="false">
      <c r="A26" s="4" t="n">
        <v>22</v>
      </c>
      <c r="B26" s="5" t="s">
        <v>47</v>
      </c>
      <c r="C26" s="5" t="s">
        <v>48</v>
      </c>
      <c r="D26" s="5" t="s">
        <v>59</v>
      </c>
      <c r="E26" s="5" t="s">
        <v>14</v>
      </c>
      <c r="F26" s="5" t="s">
        <v>60</v>
      </c>
    </row>
    <row r="27" customFormat="false" ht="23.85" hidden="false" customHeight="false" outlineLevel="0" collapsed="false">
      <c r="A27" s="4" t="n">
        <v>23</v>
      </c>
      <c r="B27" s="5" t="s">
        <v>47</v>
      </c>
      <c r="C27" s="5" t="s">
        <v>48</v>
      </c>
      <c r="D27" s="5" t="s">
        <v>61</v>
      </c>
      <c r="E27" s="5" t="s">
        <v>14</v>
      </c>
      <c r="F27" s="5" t="s">
        <v>62</v>
      </c>
    </row>
    <row r="28" customFormat="false" ht="23.85" hidden="false" customHeight="false" outlineLevel="0" collapsed="false">
      <c r="A28" s="4" t="n">
        <v>24</v>
      </c>
      <c r="B28" s="5" t="s">
        <v>47</v>
      </c>
      <c r="C28" s="5" t="s">
        <v>48</v>
      </c>
      <c r="D28" s="5" t="s">
        <v>63</v>
      </c>
      <c r="E28" s="5" t="s">
        <v>14</v>
      </c>
      <c r="F28" s="5" t="s">
        <v>64</v>
      </c>
    </row>
    <row r="29" customFormat="false" ht="23.85" hidden="false" customHeight="false" outlineLevel="0" collapsed="false">
      <c r="A29" s="4" t="n">
        <v>25</v>
      </c>
      <c r="B29" s="5" t="s">
        <v>47</v>
      </c>
      <c r="C29" s="5" t="s">
        <v>48</v>
      </c>
      <c r="D29" s="5" t="s">
        <v>65</v>
      </c>
      <c r="E29" s="5" t="s">
        <v>29</v>
      </c>
      <c r="F29" s="5" t="s">
        <v>66</v>
      </c>
    </row>
    <row r="30" customFormat="false" ht="23.85" hidden="false" customHeight="false" outlineLevel="0" collapsed="false">
      <c r="A30" s="4" t="n">
        <v>26</v>
      </c>
      <c r="B30" s="5" t="s">
        <v>47</v>
      </c>
      <c r="C30" s="5" t="s">
        <v>48</v>
      </c>
      <c r="D30" s="5" t="s">
        <v>67</v>
      </c>
      <c r="E30" s="5" t="s">
        <v>11</v>
      </c>
      <c r="F30" s="5" t="s">
        <v>68</v>
      </c>
    </row>
    <row r="31" customFormat="false" ht="23.85" hidden="false" customHeight="false" outlineLevel="0" collapsed="false">
      <c r="A31" s="4" t="n">
        <v>27</v>
      </c>
      <c r="B31" s="5" t="s">
        <v>69</v>
      </c>
      <c r="C31" s="5" t="s">
        <v>48</v>
      </c>
      <c r="D31" s="5" t="s">
        <v>70</v>
      </c>
      <c r="E31" s="5" t="s">
        <v>11</v>
      </c>
      <c r="F31" s="5" t="s">
        <v>71</v>
      </c>
    </row>
    <row r="32" customFormat="false" ht="23.85" hidden="false" customHeight="false" outlineLevel="0" collapsed="false">
      <c r="A32" s="4" t="n">
        <v>28</v>
      </c>
      <c r="B32" s="5" t="s">
        <v>69</v>
      </c>
      <c r="C32" s="5" t="s">
        <v>48</v>
      </c>
      <c r="D32" s="5" t="s">
        <v>72</v>
      </c>
      <c r="E32" s="5" t="s">
        <v>14</v>
      </c>
      <c r="F32" s="5" t="s">
        <v>73</v>
      </c>
    </row>
    <row r="33" customFormat="false" ht="23.85" hidden="false" customHeight="false" outlineLevel="0" collapsed="false">
      <c r="A33" s="4" t="n">
        <v>29</v>
      </c>
      <c r="B33" s="5" t="s">
        <v>69</v>
      </c>
      <c r="C33" s="5" t="s">
        <v>48</v>
      </c>
      <c r="D33" s="5" t="s">
        <v>74</v>
      </c>
      <c r="E33" s="5" t="s">
        <v>14</v>
      </c>
      <c r="F33" s="5" t="s">
        <v>75</v>
      </c>
    </row>
    <row r="34" customFormat="false" ht="23.85" hidden="false" customHeight="false" outlineLevel="0" collapsed="false">
      <c r="A34" s="4" t="n">
        <v>30</v>
      </c>
      <c r="B34" s="5" t="s">
        <v>69</v>
      </c>
      <c r="C34" s="5" t="s">
        <v>48</v>
      </c>
      <c r="D34" s="5" t="s">
        <v>76</v>
      </c>
      <c r="E34" s="5" t="s">
        <v>14</v>
      </c>
      <c r="F34" s="5" t="s">
        <v>77</v>
      </c>
    </row>
    <row r="35" customFormat="false" ht="23.85" hidden="false" customHeight="false" outlineLevel="0" collapsed="false">
      <c r="A35" s="4" t="n">
        <v>31</v>
      </c>
      <c r="B35" s="5" t="s">
        <v>69</v>
      </c>
      <c r="C35" s="5" t="s">
        <v>48</v>
      </c>
      <c r="D35" s="5" t="s">
        <v>78</v>
      </c>
      <c r="E35" s="5" t="s">
        <v>11</v>
      </c>
      <c r="F35" s="5" t="s">
        <v>79</v>
      </c>
    </row>
    <row r="36" customFormat="false" ht="23.85" hidden="false" customHeight="false" outlineLevel="0" collapsed="false">
      <c r="A36" s="4" t="n">
        <v>32</v>
      </c>
      <c r="B36" s="5" t="s">
        <v>69</v>
      </c>
      <c r="C36" s="5" t="s">
        <v>48</v>
      </c>
      <c r="D36" s="5" t="s">
        <v>80</v>
      </c>
      <c r="E36" s="5" t="s">
        <v>14</v>
      </c>
      <c r="F36" s="5" t="s">
        <v>81</v>
      </c>
    </row>
    <row r="37" customFormat="false" ht="23.85" hidden="false" customHeight="false" outlineLevel="0" collapsed="false">
      <c r="A37" s="4" t="n">
        <v>33</v>
      </c>
      <c r="B37" s="5" t="s">
        <v>69</v>
      </c>
      <c r="C37" s="5" t="s">
        <v>48</v>
      </c>
      <c r="D37" s="5" t="s">
        <v>82</v>
      </c>
      <c r="E37" s="5" t="s">
        <v>29</v>
      </c>
      <c r="F37" s="5" t="s">
        <v>83</v>
      </c>
    </row>
    <row r="38" customFormat="false" ht="23.85" hidden="false" customHeight="false" outlineLevel="0" collapsed="false">
      <c r="A38" s="4" t="n">
        <v>34</v>
      </c>
      <c r="B38" s="5" t="s">
        <v>84</v>
      </c>
      <c r="C38" s="5" t="s">
        <v>85</v>
      </c>
      <c r="D38" s="5" t="s">
        <v>86</v>
      </c>
      <c r="E38" s="5" t="s">
        <v>29</v>
      </c>
      <c r="F38" s="5" t="s">
        <v>87</v>
      </c>
    </row>
    <row r="39" customFormat="false" ht="23.85" hidden="false" customHeight="false" outlineLevel="0" collapsed="false">
      <c r="A39" s="4" t="n">
        <v>35</v>
      </c>
      <c r="B39" s="5" t="s">
        <v>84</v>
      </c>
      <c r="C39" s="5" t="s">
        <v>85</v>
      </c>
      <c r="D39" s="5" t="s">
        <v>88</v>
      </c>
      <c r="E39" s="5" t="s">
        <v>14</v>
      </c>
      <c r="F39" s="5" t="s">
        <v>89</v>
      </c>
    </row>
    <row r="40" customFormat="false" ht="23.85" hidden="false" customHeight="false" outlineLevel="0" collapsed="false">
      <c r="A40" s="4" t="n">
        <v>36</v>
      </c>
      <c r="B40" s="5" t="s">
        <v>84</v>
      </c>
      <c r="C40" s="5" t="s">
        <v>85</v>
      </c>
      <c r="D40" s="5" t="s">
        <v>90</v>
      </c>
      <c r="E40" s="5" t="s">
        <v>14</v>
      </c>
      <c r="F40" s="5" t="s">
        <v>91</v>
      </c>
    </row>
    <row r="41" customFormat="false" ht="23.85" hidden="false" customHeight="false" outlineLevel="0" collapsed="false">
      <c r="A41" s="4" t="n">
        <v>37</v>
      </c>
      <c r="B41" s="5" t="s">
        <v>84</v>
      </c>
      <c r="C41" s="5" t="s">
        <v>85</v>
      </c>
      <c r="D41" s="5" t="s">
        <v>92</v>
      </c>
      <c r="E41" s="5" t="s">
        <v>14</v>
      </c>
      <c r="F41" s="5" t="s">
        <v>93</v>
      </c>
    </row>
    <row r="42" customFormat="false" ht="23.85" hidden="false" customHeight="false" outlineLevel="0" collapsed="false">
      <c r="A42" s="4" t="n">
        <v>38</v>
      </c>
      <c r="B42" s="5" t="s">
        <v>84</v>
      </c>
      <c r="C42" s="5" t="s">
        <v>85</v>
      </c>
      <c r="D42" s="5" t="s">
        <v>94</v>
      </c>
      <c r="E42" s="5" t="s">
        <v>11</v>
      </c>
      <c r="F42" s="5" t="s">
        <v>95</v>
      </c>
    </row>
    <row r="43" customFormat="false" ht="23.85" hidden="false" customHeight="false" outlineLevel="0" collapsed="false">
      <c r="A43" s="4" t="n">
        <v>39</v>
      </c>
      <c r="B43" s="5" t="s">
        <v>84</v>
      </c>
      <c r="C43" s="5" t="s">
        <v>85</v>
      </c>
      <c r="D43" s="5" t="s">
        <v>96</v>
      </c>
      <c r="E43" s="5" t="s">
        <v>11</v>
      </c>
      <c r="F43" s="5" t="s">
        <v>97</v>
      </c>
    </row>
    <row r="44" customFormat="false" ht="23.85" hidden="false" customHeight="false" outlineLevel="0" collapsed="false">
      <c r="A44" s="4" t="n">
        <v>40</v>
      </c>
      <c r="B44" s="5" t="s">
        <v>84</v>
      </c>
      <c r="C44" s="5" t="s">
        <v>85</v>
      </c>
      <c r="D44" s="5" t="s">
        <v>98</v>
      </c>
      <c r="E44" s="5" t="s">
        <v>11</v>
      </c>
      <c r="F44" s="5" t="s">
        <v>99</v>
      </c>
    </row>
    <row r="45" customFormat="false" ht="23.85" hidden="false" customHeight="false" outlineLevel="0" collapsed="false">
      <c r="A45" s="4" t="n">
        <v>41</v>
      </c>
      <c r="B45" s="5" t="s">
        <v>84</v>
      </c>
      <c r="C45" s="5" t="s">
        <v>85</v>
      </c>
      <c r="D45" s="5" t="s">
        <v>100</v>
      </c>
      <c r="E45" s="5" t="s">
        <v>29</v>
      </c>
      <c r="F45" s="5" t="s">
        <v>101</v>
      </c>
    </row>
    <row r="46" customFormat="false" ht="23.85" hidden="false" customHeight="false" outlineLevel="0" collapsed="false">
      <c r="A46" s="4" t="n">
        <v>42</v>
      </c>
      <c r="B46" s="5" t="s">
        <v>84</v>
      </c>
      <c r="C46" s="5" t="s">
        <v>85</v>
      </c>
      <c r="D46" s="5" t="s">
        <v>102</v>
      </c>
      <c r="E46" s="5" t="s">
        <v>14</v>
      </c>
      <c r="F46" s="5" t="s">
        <v>103</v>
      </c>
    </row>
    <row r="47" customFormat="false" ht="23.85" hidden="false" customHeight="false" outlineLevel="0" collapsed="false">
      <c r="A47" s="4" t="n">
        <v>43</v>
      </c>
      <c r="B47" s="5" t="s">
        <v>104</v>
      </c>
      <c r="C47" s="5" t="s">
        <v>85</v>
      </c>
      <c r="D47" s="5" t="s">
        <v>105</v>
      </c>
      <c r="E47" s="5" t="s">
        <v>11</v>
      </c>
      <c r="F47" s="5" t="s">
        <v>106</v>
      </c>
    </row>
    <row r="48" customFormat="false" ht="23.85" hidden="false" customHeight="false" outlineLevel="0" collapsed="false">
      <c r="A48" s="4" t="n">
        <v>44</v>
      </c>
      <c r="B48" s="5" t="s">
        <v>104</v>
      </c>
      <c r="C48" s="5" t="s">
        <v>85</v>
      </c>
      <c r="D48" s="5" t="s">
        <v>107</v>
      </c>
      <c r="E48" s="5" t="s">
        <v>14</v>
      </c>
      <c r="F48" s="5" t="s">
        <v>108</v>
      </c>
    </row>
    <row r="49" customFormat="false" ht="23.85" hidden="false" customHeight="false" outlineLevel="0" collapsed="false">
      <c r="A49" s="4" t="n">
        <v>45</v>
      </c>
      <c r="B49" s="5" t="s">
        <v>104</v>
      </c>
      <c r="C49" s="5" t="s">
        <v>85</v>
      </c>
      <c r="D49" s="5" t="s">
        <v>109</v>
      </c>
      <c r="E49" s="5" t="s">
        <v>14</v>
      </c>
      <c r="F49" s="5" t="s">
        <v>110</v>
      </c>
    </row>
    <row r="50" customFormat="false" ht="23.85" hidden="false" customHeight="false" outlineLevel="0" collapsed="false">
      <c r="A50" s="4" t="n">
        <v>46</v>
      </c>
      <c r="B50" s="5" t="s">
        <v>104</v>
      </c>
      <c r="C50" s="5" t="s">
        <v>85</v>
      </c>
      <c r="D50" s="5" t="s">
        <v>111</v>
      </c>
      <c r="E50" s="5" t="s">
        <v>14</v>
      </c>
      <c r="F50" s="5" t="s">
        <v>112</v>
      </c>
    </row>
    <row r="51" customFormat="false" ht="23.85" hidden="false" customHeight="false" outlineLevel="0" collapsed="false">
      <c r="A51" s="4" t="n">
        <v>47</v>
      </c>
      <c r="B51" s="5" t="s">
        <v>104</v>
      </c>
      <c r="C51" s="5" t="s">
        <v>85</v>
      </c>
      <c r="D51" s="5" t="s">
        <v>113</v>
      </c>
      <c r="E51" s="5" t="s">
        <v>11</v>
      </c>
      <c r="F51" s="5" t="s">
        <v>114</v>
      </c>
    </row>
    <row r="52" customFormat="false" ht="23.85" hidden="false" customHeight="false" outlineLevel="0" collapsed="false">
      <c r="A52" s="4" t="n">
        <v>48</v>
      </c>
      <c r="B52" s="5" t="s">
        <v>104</v>
      </c>
      <c r="C52" s="5" t="s">
        <v>85</v>
      </c>
      <c r="D52" s="5" t="s">
        <v>115</v>
      </c>
      <c r="E52" s="5" t="s">
        <v>11</v>
      </c>
      <c r="F52" s="5" t="s">
        <v>116</v>
      </c>
    </row>
    <row r="53" customFormat="false" ht="23.85" hidden="false" customHeight="false" outlineLevel="0" collapsed="false">
      <c r="A53" s="4" t="n">
        <v>49</v>
      </c>
      <c r="B53" s="5" t="s">
        <v>104</v>
      </c>
      <c r="C53" s="5" t="s">
        <v>85</v>
      </c>
      <c r="D53" s="5" t="s">
        <v>117</v>
      </c>
      <c r="E53" s="5" t="s">
        <v>14</v>
      </c>
      <c r="F53" s="5" t="s">
        <v>118</v>
      </c>
    </row>
    <row r="54" customFormat="false" ht="23.85" hidden="false" customHeight="false" outlineLevel="0" collapsed="false">
      <c r="A54" s="4" t="n">
        <v>50</v>
      </c>
      <c r="B54" s="5" t="s">
        <v>104</v>
      </c>
      <c r="C54" s="5" t="s">
        <v>85</v>
      </c>
      <c r="D54" s="5" t="s">
        <v>119</v>
      </c>
      <c r="E54" s="5" t="s">
        <v>29</v>
      </c>
      <c r="F54" s="5" t="s">
        <v>120</v>
      </c>
    </row>
    <row r="55" customFormat="false" ht="23.85" hidden="false" customHeight="false" outlineLevel="0" collapsed="false">
      <c r="A55" s="4" t="n">
        <v>51</v>
      </c>
      <c r="B55" s="5" t="s">
        <v>121</v>
      </c>
      <c r="C55" s="5" t="s">
        <v>122</v>
      </c>
      <c r="D55" s="5" t="s">
        <v>123</v>
      </c>
      <c r="E55" s="5" t="s">
        <v>11</v>
      </c>
      <c r="F55" s="5" t="s">
        <v>124</v>
      </c>
    </row>
    <row r="56" customFormat="false" ht="23.85" hidden="false" customHeight="false" outlineLevel="0" collapsed="false">
      <c r="A56" s="4" t="n">
        <v>52</v>
      </c>
      <c r="B56" s="5" t="s">
        <v>121</v>
      </c>
      <c r="C56" s="5" t="s">
        <v>122</v>
      </c>
      <c r="D56" s="5" t="s">
        <v>125</v>
      </c>
      <c r="E56" s="5" t="s">
        <v>14</v>
      </c>
      <c r="F56" s="5" t="s">
        <v>126</v>
      </c>
    </row>
    <row r="57" customFormat="false" ht="23.85" hidden="false" customHeight="false" outlineLevel="0" collapsed="false">
      <c r="A57" s="4" t="n">
        <v>53</v>
      </c>
      <c r="B57" s="5" t="s">
        <v>121</v>
      </c>
      <c r="C57" s="5" t="s">
        <v>122</v>
      </c>
      <c r="D57" s="5" t="s">
        <v>127</v>
      </c>
      <c r="E57" s="5" t="s">
        <v>14</v>
      </c>
      <c r="F57" s="5" t="s">
        <v>128</v>
      </c>
    </row>
    <row r="58" customFormat="false" ht="23.85" hidden="false" customHeight="false" outlineLevel="0" collapsed="false">
      <c r="A58" s="4" t="n">
        <v>54</v>
      </c>
      <c r="B58" s="5" t="s">
        <v>121</v>
      </c>
      <c r="C58" s="5" t="s">
        <v>122</v>
      </c>
      <c r="D58" s="5" t="s">
        <v>129</v>
      </c>
      <c r="E58" s="5" t="s">
        <v>14</v>
      </c>
      <c r="F58" s="5" t="s">
        <v>130</v>
      </c>
    </row>
    <row r="59" customFormat="false" ht="23.85" hidden="false" customHeight="false" outlineLevel="0" collapsed="false">
      <c r="A59" s="4" t="n">
        <v>55</v>
      </c>
      <c r="B59" s="5" t="s">
        <v>121</v>
      </c>
      <c r="C59" s="5" t="s">
        <v>122</v>
      </c>
      <c r="D59" s="5" t="s">
        <v>131</v>
      </c>
      <c r="E59" s="5" t="s">
        <v>14</v>
      </c>
      <c r="F59" s="5" t="s">
        <v>132</v>
      </c>
    </row>
    <row r="60" customFormat="false" ht="23.85" hidden="false" customHeight="false" outlineLevel="0" collapsed="false">
      <c r="A60" s="4" t="n">
        <v>56</v>
      </c>
      <c r="B60" s="5" t="s">
        <v>121</v>
      </c>
      <c r="C60" s="5" t="s">
        <v>122</v>
      </c>
      <c r="D60" s="5" t="s">
        <v>133</v>
      </c>
      <c r="E60" s="5" t="s">
        <v>29</v>
      </c>
      <c r="F60" s="5" t="s">
        <v>134</v>
      </c>
    </row>
    <row r="61" customFormat="false" ht="23.85" hidden="false" customHeight="false" outlineLevel="0" collapsed="false">
      <c r="A61" s="4" t="n">
        <v>57</v>
      </c>
      <c r="B61" s="5" t="s">
        <v>135</v>
      </c>
      <c r="C61" s="5" t="s">
        <v>48</v>
      </c>
      <c r="D61" s="5" t="s">
        <v>136</v>
      </c>
      <c r="E61" s="5" t="s">
        <v>29</v>
      </c>
      <c r="F61" s="5" t="s">
        <v>137</v>
      </c>
    </row>
    <row r="62" customFormat="false" ht="23.85" hidden="false" customHeight="false" outlineLevel="0" collapsed="false">
      <c r="A62" s="4" t="n">
        <v>58</v>
      </c>
      <c r="B62" s="5" t="s">
        <v>135</v>
      </c>
      <c r="C62" s="5" t="s">
        <v>48</v>
      </c>
      <c r="D62" s="5" t="s">
        <v>138</v>
      </c>
      <c r="E62" s="5" t="s">
        <v>11</v>
      </c>
      <c r="F62" s="5" t="s">
        <v>139</v>
      </c>
    </row>
    <row r="63" customFormat="false" ht="23.85" hidden="false" customHeight="false" outlineLevel="0" collapsed="false">
      <c r="A63" s="4" t="n">
        <v>59</v>
      </c>
      <c r="B63" s="5" t="s">
        <v>135</v>
      </c>
      <c r="C63" s="5" t="s">
        <v>48</v>
      </c>
      <c r="D63" s="5" t="s">
        <v>140</v>
      </c>
      <c r="E63" s="5" t="s">
        <v>29</v>
      </c>
      <c r="F63" s="5" t="s">
        <v>141</v>
      </c>
    </row>
    <row r="64" customFormat="false" ht="23.85" hidden="false" customHeight="false" outlineLevel="0" collapsed="false">
      <c r="A64" s="4" t="n">
        <v>60</v>
      </c>
      <c r="B64" s="5" t="s">
        <v>135</v>
      </c>
      <c r="C64" s="5" t="s">
        <v>48</v>
      </c>
      <c r="D64" s="5" t="s">
        <v>142</v>
      </c>
      <c r="E64" s="5" t="s">
        <v>29</v>
      </c>
      <c r="F64" s="5" t="s">
        <v>143</v>
      </c>
    </row>
    <row r="65" customFormat="false" ht="23.85" hidden="false" customHeight="false" outlineLevel="0" collapsed="false">
      <c r="A65" s="4" t="n">
        <v>61</v>
      </c>
      <c r="B65" s="5" t="s">
        <v>135</v>
      </c>
      <c r="C65" s="5" t="s">
        <v>48</v>
      </c>
      <c r="D65" s="5" t="s">
        <v>144</v>
      </c>
      <c r="E65" s="5" t="s">
        <v>14</v>
      </c>
      <c r="F65" s="5" t="s">
        <v>145</v>
      </c>
    </row>
    <row r="66" customFormat="false" ht="23.85" hidden="false" customHeight="false" outlineLevel="0" collapsed="false">
      <c r="A66" s="4" t="n">
        <v>62</v>
      </c>
      <c r="B66" s="5" t="s">
        <v>135</v>
      </c>
      <c r="C66" s="5" t="s">
        <v>48</v>
      </c>
      <c r="D66" s="5" t="s">
        <v>146</v>
      </c>
      <c r="E66" s="5" t="s">
        <v>14</v>
      </c>
      <c r="F66" s="5" t="s">
        <v>147</v>
      </c>
    </row>
    <row r="67" customFormat="false" ht="23.85" hidden="false" customHeight="false" outlineLevel="0" collapsed="false">
      <c r="A67" s="4" t="n">
        <v>63</v>
      </c>
      <c r="B67" s="5" t="s">
        <v>148</v>
      </c>
      <c r="C67" s="5" t="s">
        <v>149</v>
      </c>
      <c r="D67" s="5" t="s">
        <v>150</v>
      </c>
      <c r="E67" s="5" t="s">
        <v>29</v>
      </c>
      <c r="F67" s="5" t="s">
        <v>151</v>
      </c>
    </row>
    <row r="68" customFormat="false" ht="23.85" hidden="false" customHeight="false" outlineLevel="0" collapsed="false">
      <c r="A68" s="4" t="n">
        <v>64</v>
      </c>
      <c r="B68" s="5" t="s">
        <v>148</v>
      </c>
      <c r="C68" s="5" t="s">
        <v>149</v>
      </c>
      <c r="D68" s="5" t="s">
        <v>152</v>
      </c>
      <c r="E68" s="5" t="s">
        <v>29</v>
      </c>
      <c r="F68" s="5" t="s">
        <v>153</v>
      </c>
    </row>
    <row r="69" customFormat="false" ht="23.85" hidden="false" customHeight="false" outlineLevel="0" collapsed="false">
      <c r="A69" s="4" t="n">
        <v>65</v>
      </c>
      <c r="B69" s="5" t="s">
        <v>148</v>
      </c>
      <c r="C69" s="5" t="s">
        <v>149</v>
      </c>
      <c r="D69" s="5" t="s">
        <v>154</v>
      </c>
      <c r="E69" s="5" t="s">
        <v>14</v>
      </c>
      <c r="F69" s="5" t="s">
        <v>155</v>
      </c>
    </row>
    <row r="70" customFormat="false" ht="23.85" hidden="false" customHeight="false" outlineLevel="0" collapsed="false">
      <c r="A70" s="4" t="n">
        <v>66</v>
      </c>
      <c r="B70" s="5" t="s">
        <v>148</v>
      </c>
      <c r="C70" s="5" t="s">
        <v>149</v>
      </c>
      <c r="D70" s="5" t="s">
        <v>156</v>
      </c>
      <c r="E70" s="5" t="s">
        <v>14</v>
      </c>
      <c r="F70" s="5" t="s">
        <v>157</v>
      </c>
    </row>
    <row r="71" customFormat="false" ht="23.85" hidden="false" customHeight="false" outlineLevel="0" collapsed="false">
      <c r="A71" s="4" t="n">
        <v>67</v>
      </c>
      <c r="B71" s="5" t="s">
        <v>148</v>
      </c>
      <c r="C71" s="5" t="s">
        <v>149</v>
      </c>
      <c r="D71" s="5" t="s">
        <v>158</v>
      </c>
      <c r="E71" s="5" t="s">
        <v>29</v>
      </c>
      <c r="F71" s="5" t="s">
        <v>159</v>
      </c>
    </row>
    <row r="72" customFormat="false" ht="23.85" hidden="false" customHeight="false" outlineLevel="0" collapsed="false">
      <c r="A72" s="4" t="n">
        <v>68</v>
      </c>
      <c r="B72" s="5" t="s">
        <v>148</v>
      </c>
      <c r="C72" s="5" t="s">
        <v>149</v>
      </c>
      <c r="D72" s="5" t="s">
        <v>160</v>
      </c>
      <c r="E72" s="5" t="s">
        <v>14</v>
      </c>
      <c r="F72" s="5" t="s">
        <v>161</v>
      </c>
    </row>
    <row r="73" customFormat="false" ht="23.85" hidden="false" customHeight="false" outlineLevel="0" collapsed="false">
      <c r="A73" s="4" t="n">
        <v>69</v>
      </c>
      <c r="B73" s="5" t="s">
        <v>148</v>
      </c>
      <c r="C73" s="5" t="s">
        <v>149</v>
      </c>
      <c r="D73" s="5" t="s">
        <v>162</v>
      </c>
      <c r="E73" s="5" t="s">
        <v>11</v>
      </c>
      <c r="F73" s="5" t="s">
        <v>163</v>
      </c>
    </row>
    <row r="74" customFormat="false" ht="23.85" hidden="false" customHeight="false" outlineLevel="0" collapsed="false">
      <c r="A74" s="4" t="n">
        <v>70</v>
      </c>
      <c r="B74" s="5" t="s">
        <v>148</v>
      </c>
      <c r="C74" s="5" t="s">
        <v>149</v>
      </c>
      <c r="D74" s="5" t="s">
        <v>164</v>
      </c>
      <c r="E74" s="5" t="s">
        <v>14</v>
      </c>
      <c r="F74" s="5" t="s">
        <v>165</v>
      </c>
    </row>
  </sheetData>
  <autoFilter ref="A4:F74"/>
  <mergeCells count="1">
    <mergeCell ref="A2:F2"/>
  </mergeCells>
  <conditionalFormatting sqref="E5:E74">
    <cfRule type="expression" priority="2" aboveAverage="0" equalAverage="0" bottom="0" percent="0" rank="0" text="" dxfId="6">
      <formula>$E5="Agente"</formula>
    </cfRule>
    <cfRule type="expression" priority="3" aboveAverage="0" equalAverage="0" bottom="0" percent="0" rank="0" text="" dxfId="7">
      <formula>$E5="Agente + aprobación"</formula>
    </cfRule>
    <cfRule type="expression" priority="4" aboveAverage="0" equalAverage="0" bottom="0" percent="0" rank="0" text="" dxfId="8">
      <formula>$E5="Humano"</formula>
    </cfRule>
  </conditionalFormatting>
  <dataValidations count="1">
    <dataValidation allowBlank="false" errorStyle="stop" operator="between" showDropDown="false" showErrorMessage="false" showInputMessage="false" sqref="E5:E74" type="list">
      <formula1>"Agente,Agente + aprobación,Humano"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166</v>
      </c>
    </row>
    <row r="3" customFormat="false" ht="26.85" hidden="false" customHeight="false" outlineLevel="0" collapsed="false">
      <c r="A3" s="3" t="s">
        <v>3</v>
      </c>
      <c r="B3" s="6" t="s">
        <v>29</v>
      </c>
      <c r="C3" s="7" t="s">
        <v>14</v>
      </c>
      <c r="D3" s="8" t="s">
        <v>11</v>
      </c>
      <c r="E3" s="3" t="s">
        <v>167</v>
      </c>
      <c r="F3" s="3" t="s">
        <v>168</v>
      </c>
    </row>
    <row r="4" customFormat="false" ht="15" hidden="false" customHeight="false" outlineLevel="0" collapsed="false">
      <c r="A4" s="9" t="s">
        <v>8</v>
      </c>
      <c r="B4" s="9" t="n">
        <f aca="false">COUNTIFS('Mapa de procesos'!$B$5:$B$74,$A4,'Mapa de procesos'!$E$5:$E$74,B$3)</f>
        <v>0</v>
      </c>
      <c r="C4" s="9" t="n">
        <f aca="false">COUNTIFS('Mapa de procesos'!$B$5:$B$74,$A4,'Mapa de procesos'!$E$5:$E$74,C$3)</f>
        <v>4</v>
      </c>
      <c r="D4" s="9" t="n">
        <f aca="false">COUNTIFS('Mapa de procesos'!$B$5:$B$74,$A4,'Mapa de procesos'!$E$5:$E$74,D$3)</f>
        <v>3</v>
      </c>
      <c r="E4" s="9" t="n">
        <f aca="false">SUM(B4:D4)</f>
        <v>7</v>
      </c>
      <c r="F4" s="10" t="n">
        <f aca="false">IF(E4=0,0,(B4+C4)/E4)</f>
        <v>0.571428571428571</v>
      </c>
    </row>
    <row r="5" customFormat="false" ht="15" hidden="false" customHeight="false" outlineLevel="0" collapsed="false">
      <c r="A5" s="9" t="s">
        <v>26</v>
      </c>
      <c r="B5" s="9" t="n">
        <f aca="false">COUNTIFS('Mapa de procesos'!$B$5:$B$74,$A5,'Mapa de procesos'!$E$5:$E$74,B$3)</f>
        <v>5</v>
      </c>
      <c r="C5" s="9" t="n">
        <f aca="false">COUNTIFS('Mapa de procesos'!$B$5:$B$74,$A5,'Mapa de procesos'!$E$5:$E$74,C$3)</f>
        <v>2</v>
      </c>
      <c r="D5" s="9" t="n">
        <f aca="false">COUNTIFS('Mapa de procesos'!$B$5:$B$74,$A5,'Mapa de procesos'!$E$5:$E$74,D$3)</f>
        <v>2</v>
      </c>
      <c r="E5" s="9" t="n">
        <f aca="false">SUM(B5:D5)</f>
        <v>9</v>
      </c>
      <c r="F5" s="10" t="n">
        <f aca="false">IF(E5=0,0,(B5+C5)/E5)</f>
        <v>0.777777777777778</v>
      </c>
    </row>
    <row r="6" customFormat="false" ht="15" hidden="false" customHeight="false" outlineLevel="0" collapsed="false">
      <c r="A6" s="9" t="s">
        <v>47</v>
      </c>
      <c r="B6" s="9" t="n">
        <f aca="false">COUNTIFS('Mapa de procesos'!$B$5:$B$74,$A6,'Mapa de procesos'!$E$5:$E$74,B$3)</f>
        <v>2</v>
      </c>
      <c r="C6" s="9" t="n">
        <f aca="false">COUNTIFS('Mapa de procesos'!$B$5:$B$74,$A6,'Mapa de procesos'!$E$5:$E$74,C$3)</f>
        <v>7</v>
      </c>
      <c r="D6" s="9" t="n">
        <f aca="false">COUNTIFS('Mapa de procesos'!$B$5:$B$74,$A6,'Mapa de procesos'!$E$5:$E$74,D$3)</f>
        <v>1</v>
      </c>
      <c r="E6" s="9" t="n">
        <f aca="false">SUM(B6:D6)</f>
        <v>10</v>
      </c>
      <c r="F6" s="10" t="n">
        <f aca="false">IF(E6=0,0,(B6+C6)/E6)</f>
        <v>0.9</v>
      </c>
    </row>
    <row r="7" customFormat="false" ht="15" hidden="false" customHeight="false" outlineLevel="0" collapsed="false">
      <c r="A7" s="9" t="s">
        <v>69</v>
      </c>
      <c r="B7" s="9" t="n">
        <f aca="false">COUNTIFS('Mapa de procesos'!$B$5:$B$74,$A7,'Mapa de procesos'!$E$5:$E$74,B$3)</f>
        <v>1</v>
      </c>
      <c r="C7" s="9" t="n">
        <f aca="false">COUNTIFS('Mapa de procesos'!$B$5:$B$74,$A7,'Mapa de procesos'!$E$5:$E$74,C$3)</f>
        <v>4</v>
      </c>
      <c r="D7" s="9" t="n">
        <f aca="false">COUNTIFS('Mapa de procesos'!$B$5:$B$74,$A7,'Mapa de procesos'!$E$5:$E$74,D$3)</f>
        <v>2</v>
      </c>
      <c r="E7" s="9" t="n">
        <f aca="false">SUM(B7:D7)</f>
        <v>7</v>
      </c>
      <c r="F7" s="10" t="n">
        <f aca="false">IF(E7=0,0,(B7+C7)/E7)</f>
        <v>0.714285714285714</v>
      </c>
    </row>
    <row r="8" customFormat="false" ht="15" hidden="false" customHeight="false" outlineLevel="0" collapsed="false">
      <c r="A8" s="9" t="s">
        <v>84</v>
      </c>
      <c r="B8" s="9" t="n">
        <f aca="false">COUNTIFS('Mapa de procesos'!$B$5:$B$74,$A8,'Mapa de procesos'!$E$5:$E$74,B$3)</f>
        <v>2</v>
      </c>
      <c r="C8" s="9" t="n">
        <f aca="false">COUNTIFS('Mapa de procesos'!$B$5:$B$74,$A8,'Mapa de procesos'!$E$5:$E$74,C$3)</f>
        <v>4</v>
      </c>
      <c r="D8" s="9" t="n">
        <f aca="false">COUNTIFS('Mapa de procesos'!$B$5:$B$74,$A8,'Mapa de procesos'!$E$5:$E$74,D$3)</f>
        <v>3</v>
      </c>
      <c r="E8" s="9" t="n">
        <f aca="false">SUM(B8:D8)</f>
        <v>9</v>
      </c>
      <c r="F8" s="10" t="n">
        <f aca="false">IF(E8=0,0,(B8+C8)/E8)</f>
        <v>0.666666666666667</v>
      </c>
    </row>
    <row r="9" customFormat="false" ht="15" hidden="false" customHeight="false" outlineLevel="0" collapsed="false">
      <c r="A9" s="9" t="s">
        <v>104</v>
      </c>
      <c r="B9" s="9" t="n">
        <f aca="false">COUNTIFS('Mapa de procesos'!$B$5:$B$74,$A9,'Mapa de procesos'!$E$5:$E$74,B$3)</f>
        <v>1</v>
      </c>
      <c r="C9" s="9" t="n">
        <f aca="false">COUNTIFS('Mapa de procesos'!$B$5:$B$74,$A9,'Mapa de procesos'!$E$5:$E$74,C$3)</f>
        <v>4</v>
      </c>
      <c r="D9" s="9" t="n">
        <f aca="false">COUNTIFS('Mapa de procesos'!$B$5:$B$74,$A9,'Mapa de procesos'!$E$5:$E$74,D$3)</f>
        <v>3</v>
      </c>
      <c r="E9" s="9" t="n">
        <f aca="false">SUM(B9:D9)</f>
        <v>8</v>
      </c>
      <c r="F9" s="10" t="n">
        <f aca="false">IF(E9=0,0,(B9+C9)/E9)</f>
        <v>0.625</v>
      </c>
    </row>
    <row r="10" customFormat="false" ht="15" hidden="false" customHeight="false" outlineLevel="0" collapsed="false">
      <c r="A10" s="9" t="s">
        <v>121</v>
      </c>
      <c r="B10" s="9" t="n">
        <f aca="false">COUNTIFS('Mapa de procesos'!$B$5:$B$74,$A10,'Mapa de procesos'!$E$5:$E$74,B$3)</f>
        <v>1</v>
      </c>
      <c r="C10" s="9" t="n">
        <f aca="false">COUNTIFS('Mapa de procesos'!$B$5:$B$74,$A10,'Mapa de procesos'!$E$5:$E$74,C$3)</f>
        <v>4</v>
      </c>
      <c r="D10" s="9" t="n">
        <f aca="false">COUNTIFS('Mapa de procesos'!$B$5:$B$74,$A10,'Mapa de procesos'!$E$5:$E$74,D$3)</f>
        <v>1</v>
      </c>
      <c r="E10" s="9" t="n">
        <f aca="false">SUM(B10:D10)</f>
        <v>6</v>
      </c>
      <c r="F10" s="10" t="n">
        <f aca="false">IF(E10=0,0,(B10+C10)/E10)</f>
        <v>0.833333333333333</v>
      </c>
    </row>
    <row r="11" customFormat="false" ht="15" hidden="false" customHeight="false" outlineLevel="0" collapsed="false">
      <c r="A11" s="9" t="s">
        <v>135</v>
      </c>
      <c r="B11" s="9" t="n">
        <f aca="false">COUNTIFS('Mapa de procesos'!$B$5:$B$74,$A11,'Mapa de procesos'!$E$5:$E$74,B$3)</f>
        <v>3</v>
      </c>
      <c r="C11" s="9" t="n">
        <f aca="false">COUNTIFS('Mapa de procesos'!$B$5:$B$74,$A11,'Mapa de procesos'!$E$5:$E$74,C$3)</f>
        <v>2</v>
      </c>
      <c r="D11" s="9" t="n">
        <f aca="false">COUNTIFS('Mapa de procesos'!$B$5:$B$74,$A11,'Mapa de procesos'!$E$5:$E$74,D$3)</f>
        <v>1</v>
      </c>
      <c r="E11" s="9" t="n">
        <f aca="false">SUM(B11:D11)</f>
        <v>6</v>
      </c>
      <c r="F11" s="10" t="n">
        <f aca="false">IF(E11=0,0,(B11+C11)/E11)</f>
        <v>0.833333333333333</v>
      </c>
    </row>
    <row r="12" customFormat="false" ht="15" hidden="false" customHeight="false" outlineLevel="0" collapsed="false">
      <c r="A12" s="9" t="s">
        <v>148</v>
      </c>
      <c r="B12" s="9" t="n">
        <f aca="false">COUNTIFS('Mapa de procesos'!$B$5:$B$74,$A12,'Mapa de procesos'!$E$5:$E$74,B$3)</f>
        <v>3</v>
      </c>
      <c r="C12" s="9" t="n">
        <f aca="false">COUNTIFS('Mapa de procesos'!$B$5:$B$74,$A12,'Mapa de procesos'!$E$5:$E$74,C$3)</f>
        <v>4</v>
      </c>
      <c r="D12" s="9" t="n">
        <f aca="false">COUNTIFS('Mapa de procesos'!$B$5:$B$74,$A12,'Mapa de procesos'!$E$5:$E$74,D$3)</f>
        <v>1</v>
      </c>
      <c r="E12" s="9" t="n">
        <f aca="false">SUM(B12:D12)</f>
        <v>8</v>
      </c>
      <c r="F12" s="10" t="n">
        <f aca="false">IF(E12=0,0,(B12+C12)/E12)</f>
        <v>0.875</v>
      </c>
    </row>
    <row r="13" customFormat="false" ht="15" hidden="false" customHeight="false" outlineLevel="0" collapsed="false">
      <c r="A13" s="11" t="s">
        <v>167</v>
      </c>
      <c r="B13" s="11" t="n">
        <f aca="false">SUM(B4:B12)</f>
        <v>18</v>
      </c>
      <c r="C13" s="11" t="n">
        <f aca="false">SUM(C4:C12)</f>
        <v>35</v>
      </c>
      <c r="D13" s="11" t="n">
        <f aca="false">SUM(D4:D12)</f>
        <v>17</v>
      </c>
      <c r="E13" s="11" t="n">
        <f aca="false">SUM(E4:E12)</f>
        <v>70</v>
      </c>
      <c r="F13" s="12" t="n">
        <f aca="false">IF(E13=0,0,(B13+C13)/E13)</f>
        <v>0.757142857142857</v>
      </c>
    </row>
    <row r="14" customFormat="false" ht="15" hidden="false" customHeight="false" outlineLevel="0" collapsed="false">
      <c r="A14" s="12" t="s">
        <v>169</v>
      </c>
      <c r="B14" s="12" t="n">
        <f aca="false">IF($E$13=0,0,B13/$E$13)</f>
        <v>0.257142857142857</v>
      </c>
      <c r="C14" s="12" t="n">
        <f aca="false">IF($E$13=0,0,C13/$E$13)</f>
        <v>0.5</v>
      </c>
      <c r="D14" s="12" t="n">
        <f aca="false">IF($E$13=0,0,D13/$E$13)</f>
        <v>0.242857142857143</v>
      </c>
      <c r="E14" s="12"/>
      <c r="F14" s="12"/>
    </row>
    <row r="16" customFormat="false" ht="15" hidden="false" customHeight="false" outlineLevel="0" collapsed="false">
      <c r="A16" s="13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171</v>
      </c>
    </row>
    <row r="3" customFormat="false" ht="26.85" hidden="false" customHeight="false" outlineLevel="0" collapsed="false">
      <c r="A3" s="14" t="s">
        <v>29</v>
      </c>
      <c r="B3" s="15" t="s">
        <v>172</v>
      </c>
    </row>
    <row r="4" customFormat="false" ht="26.85" hidden="false" customHeight="false" outlineLevel="0" collapsed="false">
      <c r="A4" s="16" t="s">
        <v>14</v>
      </c>
      <c r="B4" s="15" t="s">
        <v>173</v>
      </c>
    </row>
    <row r="5" customFormat="false" ht="26.85" hidden="false" customHeight="false" outlineLevel="0" collapsed="false">
      <c r="A5" s="17" t="s">
        <v>11</v>
      </c>
      <c r="B5" s="15" t="s">
        <v>174</v>
      </c>
    </row>
    <row r="6" customFormat="false" ht="26.85" hidden="false" customHeight="false" outlineLevel="0" collapsed="false">
      <c r="A6" s="18" t="s">
        <v>175</v>
      </c>
      <c r="B6" s="15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2026-10-12T14:56:23Z</dcterms:created>
  <dc:creator>openpyxl</dc:creator>
  <dc:description/>
  <dc:language>en-US</dc:language>
  <cp:lastModifiedBy/>
  <dcterms:modified xsi:type="dcterms:W3CDTF">2026-10-12T14:56:23Z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